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32916" windowHeight="14808"/>
  </bookViews>
  <sheets>
    <sheet name="Статистика" sheetId="1" r:id="rId1"/>
  </sheets>
  <calcPr calcId="162913" forceFullCalc="1"/>
</workbook>
</file>

<file path=xl/calcChain.xml><?xml version="1.0" encoding="utf-8"?>
<calcChain xmlns="http://schemas.openxmlformats.org/spreadsheetml/2006/main">
  <c r="B60" i="1" l="1"/>
  <c r="E44" i="1"/>
  <c r="E43" i="1"/>
  <c r="E42" i="1"/>
  <c r="E41" i="1"/>
  <c r="F41" i="1" s="1"/>
  <c r="E40" i="1"/>
  <c r="E39" i="1"/>
  <c r="E38" i="1"/>
  <c r="E37" i="1"/>
  <c r="F37" i="1" s="1"/>
  <c r="E36" i="1"/>
  <c r="E35" i="1"/>
  <c r="E34" i="1"/>
  <c r="E33" i="1"/>
  <c r="F33" i="1" s="1"/>
  <c r="E32" i="1"/>
  <c r="E31" i="1"/>
  <c r="E30" i="1"/>
  <c r="D26" i="1"/>
  <c r="C26" i="1"/>
  <c r="B26" i="1"/>
  <c r="D25" i="1"/>
  <c r="C25" i="1"/>
  <c r="B25" i="1"/>
  <c r="D23" i="1"/>
  <c r="C23" i="1"/>
  <c r="B23" i="1"/>
  <c r="D22" i="1"/>
  <c r="C22" i="1"/>
  <c r="B22" i="1"/>
  <c r="D21" i="1"/>
  <c r="C21" i="1"/>
  <c r="B21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  <c r="B56" i="1"/>
  <c r="B52" i="1"/>
  <c r="F24" i="1"/>
  <c r="B24" i="1"/>
  <c r="D24" i="1"/>
  <c r="C24" i="1"/>
  <c r="B55" i="1"/>
  <c r="G24" i="1"/>
  <c r="F23" i="1" l="1"/>
  <c r="H40" i="1"/>
  <c r="B49" i="1"/>
  <c r="H44" i="1"/>
  <c r="B51" i="1"/>
  <c r="H33" i="1"/>
  <c r="H37" i="1"/>
  <c r="H42" i="1"/>
  <c r="F22" i="1"/>
  <c r="H36" i="1"/>
  <c r="F26" i="1"/>
  <c r="G26" i="1"/>
  <c r="H38" i="1"/>
  <c r="H41" i="1"/>
  <c r="H43" i="1"/>
  <c r="H31" i="1"/>
  <c r="G22" i="1"/>
  <c r="H32" i="1"/>
  <c r="B50" i="1"/>
  <c r="H34" i="1"/>
  <c r="H35" i="1"/>
  <c r="G23" i="1"/>
  <c r="H39" i="1"/>
  <c r="F30" i="1"/>
  <c r="F34" i="1"/>
  <c r="F38" i="1"/>
  <c r="F42" i="1"/>
  <c r="B53" i="1"/>
  <c r="B54" i="1"/>
  <c r="H30" i="1"/>
  <c r="F21" i="1"/>
  <c r="F31" i="1"/>
  <c r="F35" i="1"/>
  <c r="F39" i="1"/>
  <c r="F43" i="1"/>
  <c r="G21" i="1"/>
  <c r="F25" i="1"/>
  <c r="F32" i="1"/>
  <c r="F36" i="1"/>
  <c r="F40" i="1"/>
  <c r="F44" i="1"/>
  <c r="G25" i="1"/>
  <c r="E45" i="1"/>
  <c r="G35" i="1" s="1"/>
  <c r="G36" i="1" l="1"/>
  <c r="G44" i="1"/>
  <c r="G30" i="1"/>
  <c r="G38" i="1"/>
  <c r="G34" i="1"/>
  <c r="G43" i="1"/>
  <c r="G32" i="1"/>
  <c r="G39" i="1"/>
  <c r="G41" i="1"/>
  <c r="G37" i="1"/>
  <c r="G33" i="1"/>
  <c r="G31" i="1"/>
  <c r="G40" i="1"/>
  <c r="G42" i="1"/>
  <c r="B57" i="1"/>
  <c r="B59" i="1"/>
  <c r="B58" i="1"/>
</calcChain>
</file>

<file path=xl/sharedStrings.xml><?xml version="1.0" encoding="utf-8"?>
<sst xmlns="http://schemas.openxmlformats.org/spreadsheetml/2006/main" count="75" uniqueCount="62">
  <si>
    <t>№</t>
  </si>
  <si>
    <t>ФИО студента</t>
  </si>
  <si>
    <t>Балл 1 (тест)</t>
  </si>
  <si>
    <t>Балл 2 (практика)</t>
  </si>
  <si>
    <t>Балл 3 (проект)</t>
  </si>
  <si>
    <t>Сумма баллов</t>
  </si>
  <si>
    <t>Средний балл</t>
  </si>
  <si>
    <t>Оценка</t>
  </si>
  <si>
    <t>Ранг</t>
  </si>
  <si>
    <t>Иванов И.И.</t>
  </si>
  <si>
    <t>Петров П.П.</t>
  </si>
  <si>
    <t>Сидорова С.С.</t>
  </si>
  <si>
    <t>Кузнецов К.К.</t>
  </si>
  <si>
    <t>Смирнова С.С.</t>
  </si>
  <si>
    <t>Волков В.В.</t>
  </si>
  <si>
    <t>Морозова М.М.</t>
  </si>
  <si>
    <t>Новиков Н.Н.</t>
  </si>
  <si>
    <t>Фёдорова Ф.Ф.</t>
  </si>
  <si>
    <t>Егоров Е.Е.</t>
  </si>
  <si>
    <t>Павлова П.П.</t>
  </si>
  <si>
    <t>Соколов С.С.</t>
  </si>
  <si>
    <t>Лебедева Л.Л.</t>
  </si>
  <si>
    <t>Козлов К.К.</t>
  </si>
  <si>
    <t>Степанова С.С.</t>
  </si>
  <si>
    <t>Статистика по успеваемости</t>
  </si>
  <si>
    <t>Показатель</t>
  </si>
  <si>
    <t>Сумма</t>
  </si>
  <si>
    <t>Среднее</t>
  </si>
  <si>
    <t>Медиана</t>
  </si>
  <si>
    <t>Мода</t>
  </si>
  <si>
    <t>Минимум</t>
  </si>
  <si>
    <t>Максимум</t>
  </si>
  <si>
    <t>Анализ продаж товаров</t>
  </si>
  <si>
    <t>Товар</t>
  </si>
  <si>
    <t>Цена (руб.)</t>
  </si>
  <si>
    <t>Продано (шт.)</t>
  </si>
  <si>
    <t>Выручка</t>
  </si>
  <si>
    <t>Категория</t>
  </si>
  <si>
    <t>Доля в общей выручке (%)</t>
  </si>
  <si>
    <t>Ноутбук</t>
  </si>
  <si>
    <t>Монитор</t>
  </si>
  <si>
    <t>Клавиатура</t>
  </si>
  <si>
    <t>Мышь</t>
  </si>
  <si>
    <t>Принтер</t>
  </si>
  <si>
    <t>Сканер</t>
  </si>
  <si>
    <t>Флешка 32ГБ</t>
  </si>
  <si>
    <t>Внешний HDD</t>
  </si>
  <si>
    <t>Веб-камера</t>
  </si>
  <si>
    <t>Наушники</t>
  </si>
  <si>
    <t>Коврик для мыши</t>
  </si>
  <si>
    <t>USB-хаб</t>
  </si>
  <si>
    <t>Картридж</t>
  </si>
  <si>
    <t>Бумага А4</t>
  </si>
  <si>
    <t>Роутер</t>
  </si>
  <si>
    <t>Общая выручка</t>
  </si>
  <si>
    <t>Статистика по выручке</t>
  </si>
  <si>
    <t>Стандартное отклонение</t>
  </si>
  <si>
    <t>Дисперсия</t>
  </si>
  <si>
    <t>Количество товаров "Топ"</t>
  </si>
  <si>
    <t>Сумма выручки "Топ"</t>
  </si>
  <si>
    <t>Средняя выручка "Средний"</t>
  </si>
  <si>
    <t>Корреляция цены и количества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</si>
</sst>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2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workbookViewId="0">
      <pane ySplit="1" topLeftCell="A2" activePane="bottomLeft" state="frozen"/>
      <selection pane="bottomLeft" activeCell="G37" sqref="G37"/>
    </sheetView>
  </sheetViews>
  <sheetFormatPr defaultRowHeight="14.4" x14ac:dyDescent="0.3"/>
  <cols>
    <col min="1" max="2" width="24" customWidth="1"/>
    <col min="3" max="3" width="16" customWidth="1"/>
    <col min="4" max="4" width="18" customWidth="1"/>
    <col min="5" max="6" width="16" customWidth="1"/>
    <col min="7" max="7" width="26" customWidth="1"/>
    <col min="8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 t="s">
        <v>9</v>
      </c>
      <c r="C2" s="4">
        <v>85</v>
      </c>
      <c r="D2" s="4">
        <v>78</v>
      </c>
      <c r="E2" s="4">
        <v>92</v>
      </c>
      <c r="F2" s="4">
        <f t="shared" ref="F2:F16" si="0">SUM(C2:E2)</f>
        <v>255</v>
      </c>
      <c r="G2" s="5">
        <f t="shared" ref="G2:G16" si="1">AVERAGE(C2:E2)</f>
        <v>85</v>
      </c>
      <c r="H2" s="4"/>
      <c r="I2" s="4"/>
    </row>
    <row r="3" spans="1:9" x14ac:dyDescent="0.3">
      <c r="A3" s="2">
        <v>2</v>
      </c>
      <c r="B3" s="3" t="s">
        <v>10</v>
      </c>
      <c r="C3" s="4">
        <v>72</v>
      </c>
      <c r="D3" s="4">
        <v>65</v>
      </c>
      <c r="E3" s="4">
        <v>80</v>
      </c>
      <c r="F3" s="4">
        <f t="shared" si="0"/>
        <v>217</v>
      </c>
      <c r="G3" s="5">
        <f t="shared" si="1"/>
        <v>72.333333333333329</v>
      </c>
      <c r="H3" s="4"/>
      <c r="I3" s="4"/>
    </row>
    <row r="4" spans="1:9" x14ac:dyDescent="0.3">
      <c r="A4" s="2">
        <v>3</v>
      </c>
      <c r="B4" s="3" t="s">
        <v>11</v>
      </c>
      <c r="C4" s="4">
        <v>95</v>
      </c>
      <c r="D4" s="4">
        <v>88</v>
      </c>
      <c r="E4" s="4">
        <v>98</v>
      </c>
      <c r="F4" s="4">
        <f t="shared" si="0"/>
        <v>281</v>
      </c>
      <c r="G4" s="5">
        <f t="shared" si="1"/>
        <v>93.666666666666671</v>
      </c>
      <c r="H4" s="4"/>
      <c r="I4" s="4"/>
    </row>
    <row r="5" spans="1:9" x14ac:dyDescent="0.3">
      <c r="A5" s="2">
        <v>4</v>
      </c>
      <c r="B5" s="3" t="s">
        <v>12</v>
      </c>
      <c r="C5" s="4">
        <v>65</v>
      </c>
      <c r="D5" s="4">
        <v>55</v>
      </c>
      <c r="E5" s="4">
        <v>70</v>
      </c>
      <c r="F5" s="4">
        <f t="shared" si="0"/>
        <v>190</v>
      </c>
      <c r="G5" s="5">
        <f t="shared" si="1"/>
        <v>63.333333333333336</v>
      </c>
      <c r="H5" s="4"/>
      <c r="I5" s="4"/>
    </row>
    <row r="6" spans="1:9" x14ac:dyDescent="0.3">
      <c r="A6" s="2">
        <v>5</v>
      </c>
      <c r="B6" s="3" t="s">
        <v>13</v>
      </c>
      <c r="C6" s="4">
        <v>78</v>
      </c>
      <c r="D6" s="4">
        <v>82</v>
      </c>
      <c r="E6" s="4">
        <v>85</v>
      </c>
      <c r="F6" s="4">
        <f t="shared" si="0"/>
        <v>245</v>
      </c>
      <c r="G6" s="5">
        <f t="shared" si="1"/>
        <v>81.666666666666671</v>
      </c>
      <c r="H6" s="4"/>
      <c r="I6" s="4"/>
    </row>
    <row r="7" spans="1:9" x14ac:dyDescent="0.3">
      <c r="A7" s="2">
        <v>6</v>
      </c>
      <c r="B7" s="3" t="s">
        <v>14</v>
      </c>
      <c r="C7" s="4">
        <v>88</v>
      </c>
      <c r="D7" s="4">
        <v>90</v>
      </c>
      <c r="E7" s="4">
        <v>95</v>
      </c>
      <c r="F7" s="4">
        <f t="shared" si="0"/>
        <v>273</v>
      </c>
      <c r="G7" s="5">
        <f t="shared" si="1"/>
        <v>91</v>
      </c>
      <c r="H7" s="4"/>
      <c r="I7" s="4"/>
    </row>
    <row r="8" spans="1:9" x14ac:dyDescent="0.3">
      <c r="A8" s="2">
        <v>7</v>
      </c>
      <c r="B8" s="3" t="s">
        <v>15</v>
      </c>
      <c r="C8" s="4">
        <v>65</v>
      </c>
      <c r="D8" s="4">
        <v>70</v>
      </c>
      <c r="E8" s="4">
        <v>68</v>
      </c>
      <c r="F8" s="4">
        <f t="shared" si="0"/>
        <v>203</v>
      </c>
      <c r="G8" s="5">
        <f t="shared" si="1"/>
        <v>67.666666666666671</v>
      </c>
      <c r="H8" s="4"/>
      <c r="I8" s="4"/>
    </row>
    <row r="9" spans="1:9" x14ac:dyDescent="0.3">
      <c r="A9" s="2">
        <v>8</v>
      </c>
      <c r="B9" s="3" t="s">
        <v>16</v>
      </c>
      <c r="C9" s="4">
        <v>92</v>
      </c>
      <c r="D9" s="4">
        <v>85</v>
      </c>
      <c r="E9" s="4">
        <v>88</v>
      </c>
      <c r="F9" s="4">
        <f t="shared" si="0"/>
        <v>265</v>
      </c>
      <c r="G9" s="5">
        <f t="shared" si="1"/>
        <v>88.333333333333329</v>
      </c>
      <c r="H9" s="4"/>
      <c r="I9" s="4"/>
    </row>
    <row r="10" spans="1:9" x14ac:dyDescent="0.3">
      <c r="A10" s="2">
        <v>9</v>
      </c>
      <c r="B10" s="3" t="s">
        <v>17</v>
      </c>
      <c r="C10" s="4">
        <v>55</v>
      </c>
      <c r="D10" s="4">
        <v>60</v>
      </c>
      <c r="E10" s="4">
        <v>58</v>
      </c>
      <c r="F10" s="4">
        <f t="shared" si="0"/>
        <v>173</v>
      </c>
      <c r="G10" s="5">
        <f t="shared" si="1"/>
        <v>57.666666666666664</v>
      </c>
      <c r="H10" s="4"/>
      <c r="I10" s="4"/>
    </row>
    <row r="11" spans="1:9" x14ac:dyDescent="0.3">
      <c r="A11" s="2">
        <v>10</v>
      </c>
      <c r="B11" s="3" t="s">
        <v>18</v>
      </c>
      <c r="C11" s="4">
        <v>80</v>
      </c>
      <c r="D11" s="4">
        <v>75</v>
      </c>
      <c r="E11" s="4">
        <v>82</v>
      </c>
      <c r="F11" s="4">
        <f t="shared" si="0"/>
        <v>237</v>
      </c>
      <c r="G11" s="5">
        <f t="shared" si="1"/>
        <v>79</v>
      </c>
      <c r="H11" s="4"/>
      <c r="I11" s="4"/>
    </row>
    <row r="12" spans="1:9" x14ac:dyDescent="0.3">
      <c r="A12" s="2">
        <v>11</v>
      </c>
      <c r="B12" s="3" t="s">
        <v>19</v>
      </c>
      <c r="C12" s="4">
        <v>70</v>
      </c>
      <c r="D12" s="4">
        <v>68</v>
      </c>
      <c r="E12" s="4">
        <v>72</v>
      </c>
      <c r="F12" s="4">
        <f t="shared" si="0"/>
        <v>210</v>
      </c>
      <c r="G12" s="5">
        <f t="shared" si="1"/>
        <v>70</v>
      </c>
      <c r="H12" s="4"/>
      <c r="I12" s="4"/>
    </row>
    <row r="13" spans="1:9" x14ac:dyDescent="0.3">
      <c r="A13" s="2">
        <v>12</v>
      </c>
      <c r="B13" s="3" t="s">
        <v>20</v>
      </c>
      <c r="C13" s="4">
        <v>90</v>
      </c>
      <c r="D13" s="4">
        <v>92</v>
      </c>
      <c r="E13" s="4">
        <v>94</v>
      </c>
      <c r="F13" s="4">
        <f t="shared" si="0"/>
        <v>276</v>
      </c>
      <c r="G13" s="5">
        <f t="shared" si="1"/>
        <v>92</v>
      </c>
      <c r="H13" s="4"/>
      <c r="I13" s="4"/>
    </row>
    <row r="14" spans="1:9" x14ac:dyDescent="0.3">
      <c r="A14" s="2">
        <v>13</v>
      </c>
      <c r="B14" s="3" t="s">
        <v>21</v>
      </c>
      <c r="C14" s="4">
        <v>75</v>
      </c>
      <c r="D14" s="4">
        <v>78</v>
      </c>
      <c r="E14" s="4">
        <v>80</v>
      </c>
      <c r="F14" s="4">
        <f t="shared" si="0"/>
        <v>233</v>
      </c>
      <c r="G14" s="5">
        <f t="shared" si="1"/>
        <v>77.666666666666671</v>
      </c>
      <c r="H14" s="4"/>
      <c r="I14" s="4"/>
    </row>
    <row r="15" spans="1:9" x14ac:dyDescent="0.3">
      <c r="A15" s="2">
        <v>14</v>
      </c>
      <c r="B15" s="3" t="s">
        <v>22</v>
      </c>
      <c r="C15" s="4">
        <v>62</v>
      </c>
      <c r="D15" s="4">
        <v>58</v>
      </c>
      <c r="E15" s="4">
        <v>65</v>
      </c>
      <c r="F15" s="4">
        <f t="shared" si="0"/>
        <v>185</v>
      </c>
      <c r="G15" s="5">
        <f t="shared" si="1"/>
        <v>61.666666666666664</v>
      </c>
      <c r="H15" s="4"/>
      <c r="I15" s="4"/>
    </row>
    <row r="16" spans="1:9" x14ac:dyDescent="0.3">
      <c r="A16" s="2">
        <v>15</v>
      </c>
      <c r="B16" s="3" t="s">
        <v>23</v>
      </c>
      <c r="C16" s="4">
        <v>98</v>
      </c>
      <c r="D16" s="4">
        <v>95</v>
      </c>
      <c r="E16" s="4">
        <v>100</v>
      </c>
      <c r="F16" s="4">
        <f t="shared" si="0"/>
        <v>293</v>
      </c>
      <c r="G16" s="5">
        <f t="shared" si="1"/>
        <v>97.666666666666671</v>
      </c>
      <c r="H16" s="4"/>
      <c r="I16" s="4"/>
    </row>
    <row r="19" spans="1:8" ht="15.6" x14ac:dyDescent="0.3">
      <c r="A19" s="6" t="s">
        <v>24</v>
      </c>
    </row>
    <row r="20" spans="1:8" x14ac:dyDescent="0.3">
      <c r="A20" s="12" t="s">
        <v>25</v>
      </c>
      <c r="B20" s="12" t="s">
        <v>2</v>
      </c>
      <c r="C20" s="12" t="s">
        <v>3</v>
      </c>
      <c r="D20" s="12" t="s">
        <v>4</v>
      </c>
      <c r="F20" s="12" t="s">
        <v>5</v>
      </c>
      <c r="G20" s="12" t="s">
        <v>6</v>
      </c>
    </row>
    <row r="21" spans="1:8" x14ac:dyDescent="0.3">
      <c r="A21" s="3" t="s">
        <v>26</v>
      </c>
      <c r="B21" s="13">
        <f>SUM(C2:C16)</f>
        <v>1170</v>
      </c>
      <c r="C21" s="13">
        <f>SUM(D2:D16)</f>
        <v>1139</v>
      </c>
      <c r="D21" s="13">
        <f>SUM(E2:E16)</f>
        <v>1227</v>
      </c>
      <c r="F21" s="13">
        <f>SUM(F2:F16)</f>
        <v>3536</v>
      </c>
      <c r="G21" s="14">
        <f>AVERAGE(G2:G16)</f>
        <v>78.577777777777783</v>
      </c>
    </row>
    <row r="22" spans="1:8" x14ac:dyDescent="0.3">
      <c r="A22" s="3" t="s">
        <v>27</v>
      </c>
      <c r="B22" s="13">
        <f>AVERAGE(C2:C16)</f>
        <v>78</v>
      </c>
      <c r="C22" s="13">
        <f>AVERAGE(D2:D16)</f>
        <v>75.933333333333337</v>
      </c>
      <c r="D22" s="13">
        <f>AVERAGE(E2:E16)</f>
        <v>81.8</v>
      </c>
      <c r="F22" s="13">
        <f>AVERAGE(F2:F16)</f>
        <v>235.73333333333332</v>
      </c>
      <c r="G22" s="14">
        <f>AVERAGE(G2:G16)</f>
        <v>78.577777777777783</v>
      </c>
    </row>
    <row r="23" spans="1:8" x14ac:dyDescent="0.3">
      <c r="A23" s="3" t="s">
        <v>28</v>
      </c>
      <c r="B23" s="13">
        <f>MEDIAN(C2:C16)</f>
        <v>78</v>
      </c>
      <c r="C23" s="13">
        <f>MEDIAN(D2:D16)</f>
        <v>78</v>
      </c>
      <c r="D23" s="13">
        <f>MEDIAN(E2:E16)</f>
        <v>82</v>
      </c>
      <c r="F23" s="13">
        <f>MEDIAN(F2:F16)</f>
        <v>237</v>
      </c>
      <c r="G23" s="14">
        <f>MEDIAN(G2:G16)</f>
        <v>79</v>
      </c>
    </row>
    <row r="24" spans="1:8" x14ac:dyDescent="0.3">
      <c r="A24" s="3" t="s">
        <v>29</v>
      </c>
      <c r="B24" s="13" t="e">
        <f ca="1">_xludf.MODE.SNGL(C2:C16)</f>
        <v>#NAME?</v>
      </c>
      <c r="C24" s="13" t="e">
        <f ca="1">_xludf.MODE.SNGL(D2:D16)</f>
        <v>#NAME?</v>
      </c>
      <c r="D24" s="13" t="e">
        <f ca="1">_xludf.MODE.SNGL(E2:E16)</f>
        <v>#NAME?</v>
      </c>
      <c r="F24" s="13" t="e">
        <f ca="1">_xludf.MODE.SNGL(F2:F16)</f>
        <v>#NAME?</v>
      </c>
      <c r="G24" s="14" t="e">
        <f ca="1">_xludf.MODE.SNGL(G2:G16)</f>
        <v>#NAME?</v>
      </c>
    </row>
    <row r="25" spans="1:8" x14ac:dyDescent="0.3">
      <c r="A25" s="3" t="s">
        <v>30</v>
      </c>
      <c r="B25" s="13">
        <f>MIN(C2:C16)</f>
        <v>55</v>
      </c>
      <c r="C25" s="13">
        <f>MIN(D2:D16)</f>
        <v>55</v>
      </c>
      <c r="D25" s="13">
        <f>MIN(E2:E16)</f>
        <v>58</v>
      </c>
      <c r="F25" s="13">
        <f>MIN(F2:F16)</f>
        <v>173</v>
      </c>
      <c r="G25" s="14">
        <f>MIN(G2:G16)</f>
        <v>57.666666666666664</v>
      </c>
    </row>
    <row r="26" spans="1:8" x14ac:dyDescent="0.3">
      <c r="A26" s="3" t="s">
        <v>31</v>
      </c>
      <c r="B26" s="13">
        <f>MAX(C2:C16)</f>
        <v>98</v>
      </c>
      <c r="C26" s="13">
        <f>MAX(D2:D16)</f>
        <v>95</v>
      </c>
      <c r="D26" s="13">
        <f>MAX(E2:E16)</f>
        <v>100</v>
      </c>
      <c r="F26" s="13">
        <f>MAX(F2:F16)</f>
        <v>293</v>
      </c>
      <c r="G26" s="14">
        <f>MAX(G2:G16)</f>
        <v>97.666666666666671</v>
      </c>
    </row>
    <row r="28" spans="1:8" ht="15.6" x14ac:dyDescent="0.3">
      <c r="A28" s="6" t="s">
        <v>32</v>
      </c>
    </row>
    <row r="29" spans="1:8" x14ac:dyDescent="0.3">
      <c r="A29" s="1" t="s">
        <v>0</v>
      </c>
      <c r="B29" s="1" t="s">
        <v>33</v>
      </c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38</v>
      </c>
      <c r="H29" s="1" t="s">
        <v>8</v>
      </c>
    </row>
    <row r="30" spans="1:8" x14ac:dyDescent="0.3">
      <c r="A30" s="2">
        <v>1</v>
      </c>
      <c r="B30" s="3" t="s">
        <v>39</v>
      </c>
      <c r="C30" s="8">
        <v>45000</v>
      </c>
      <c r="D30" s="4">
        <v>12</v>
      </c>
      <c r="E30" s="8">
        <f t="shared" ref="E30:E44" si="2">C30*D30</f>
        <v>540000</v>
      </c>
      <c r="F30" s="2" t="str">
        <f t="shared" ref="F30:F44" si="3">IF(E30&gt;100000,"Топ",IF(E30&gt;50000,"Средний","Низкий"))</f>
        <v>Топ</v>
      </c>
      <c r="G30" s="9">
        <f t="shared" ref="G30:G44" si="4">E30/$E$45</f>
        <v>0.28600180075207882</v>
      </c>
      <c r="H30" s="2">
        <f t="shared" ref="H30:H44" si="5">RANK(E30,$E$30:$E$44,0)</f>
        <v>1</v>
      </c>
    </row>
    <row r="31" spans="1:8" x14ac:dyDescent="0.3">
      <c r="A31" s="2">
        <v>2</v>
      </c>
      <c r="B31" s="3" t="s">
        <v>40</v>
      </c>
      <c r="C31" s="8">
        <v>18000</v>
      </c>
      <c r="D31" s="4">
        <v>25</v>
      </c>
      <c r="E31" s="8">
        <f t="shared" si="2"/>
        <v>450000</v>
      </c>
      <c r="F31" s="2" t="str">
        <f t="shared" si="3"/>
        <v>Топ</v>
      </c>
      <c r="G31" s="9">
        <f t="shared" si="4"/>
        <v>0.23833483396006566</v>
      </c>
      <c r="H31" s="2">
        <f t="shared" si="5"/>
        <v>2</v>
      </c>
    </row>
    <row r="32" spans="1:8" x14ac:dyDescent="0.3">
      <c r="A32" s="2">
        <v>3</v>
      </c>
      <c r="B32" s="3" t="s">
        <v>41</v>
      </c>
      <c r="C32" s="8">
        <v>1500</v>
      </c>
      <c r="D32" s="4">
        <v>60</v>
      </c>
      <c r="E32" s="8">
        <f t="shared" si="2"/>
        <v>90000</v>
      </c>
      <c r="F32" s="2" t="str">
        <f t="shared" si="3"/>
        <v>Средний</v>
      </c>
      <c r="G32" s="9">
        <f t="shared" si="4"/>
        <v>4.7666966792013134E-2</v>
      </c>
      <c r="H32" s="2">
        <f t="shared" si="5"/>
        <v>5</v>
      </c>
    </row>
    <row r="33" spans="1:8" x14ac:dyDescent="0.3">
      <c r="A33" s="2">
        <v>4</v>
      </c>
      <c r="B33" s="3" t="s">
        <v>42</v>
      </c>
      <c r="C33" s="8">
        <v>800</v>
      </c>
      <c r="D33" s="4">
        <v>85</v>
      </c>
      <c r="E33" s="8">
        <f t="shared" si="2"/>
        <v>68000</v>
      </c>
      <c r="F33" s="2" t="str">
        <f t="shared" si="3"/>
        <v>Средний</v>
      </c>
      <c r="G33" s="9">
        <f t="shared" si="4"/>
        <v>3.6015041576187699E-2</v>
      </c>
      <c r="H33" s="2">
        <f t="shared" si="5"/>
        <v>9</v>
      </c>
    </row>
    <row r="34" spans="1:8" x14ac:dyDescent="0.3">
      <c r="A34" s="2">
        <v>5</v>
      </c>
      <c r="B34" s="3" t="s">
        <v>43</v>
      </c>
      <c r="C34" s="8">
        <v>12000</v>
      </c>
      <c r="D34" s="4">
        <v>8</v>
      </c>
      <c r="E34" s="8">
        <f t="shared" si="2"/>
        <v>96000</v>
      </c>
      <c r="F34" s="2" t="str">
        <f t="shared" si="3"/>
        <v>Средний</v>
      </c>
      <c r="G34" s="9">
        <f t="shared" si="4"/>
        <v>5.0844764578147343E-2</v>
      </c>
      <c r="H34" s="2">
        <f t="shared" si="5"/>
        <v>4</v>
      </c>
    </row>
    <row r="35" spans="1:8" x14ac:dyDescent="0.3">
      <c r="A35" s="2">
        <v>6</v>
      </c>
      <c r="B35" s="3" t="s">
        <v>44</v>
      </c>
      <c r="C35" s="8">
        <v>9000</v>
      </c>
      <c r="D35" s="4">
        <v>6</v>
      </c>
      <c r="E35" s="8">
        <f t="shared" si="2"/>
        <v>54000</v>
      </c>
      <c r="F35" s="2" t="str">
        <f t="shared" si="3"/>
        <v>Средний</v>
      </c>
      <c r="G35" s="9">
        <f t="shared" si="4"/>
        <v>2.8600180075207881E-2</v>
      </c>
      <c r="H35" s="2">
        <f t="shared" si="5"/>
        <v>12</v>
      </c>
    </row>
    <row r="36" spans="1:8" x14ac:dyDescent="0.3">
      <c r="A36" s="2">
        <v>7</v>
      </c>
      <c r="B36" s="3" t="s">
        <v>45</v>
      </c>
      <c r="C36" s="8">
        <v>600</v>
      </c>
      <c r="D36" s="4">
        <v>120</v>
      </c>
      <c r="E36" s="8">
        <f t="shared" si="2"/>
        <v>72000</v>
      </c>
      <c r="F36" s="2" t="str">
        <f t="shared" si="3"/>
        <v>Средний</v>
      </c>
      <c r="G36" s="9">
        <f t="shared" si="4"/>
        <v>3.8133573433610506E-2</v>
      </c>
      <c r="H36" s="2">
        <f t="shared" si="5"/>
        <v>7</v>
      </c>
    </row>
    <row r="37" spans="1:8" x14ac:dyDescent="0.3">
      <c r="A37" s="2">
        <v>8</v>
      </c>
      <c r="B37" s="3" t="s">
        <v>46</v>
      </c>
      <c r="C37" s="8">
        <v>5500</v>
      </c>
      <c r="D37" s="4">
        <v>15</v>
      </c>
      <c r="E37" s="8">
        <f t="shared" si="2"/>
        <v>82500</v>
      </c>
      <c r="F37" s="2" t="str">
        <f t="shared" si="3"/>
        <v>Средний</v>
      </c>
      <c r="G37" s="9">
        <f t="shared" si="4"/>
        <v>4.3694719559345375E-2</v>
      </c>
      <c r="H37" s="2">
        <f t="shared" si="5"/>
        <v>6</v>
      </c>
    </row>
    <row r="38" spans="1:8" x14ac:dyDescent="0.3">
      <c r="A38" s="2">
        <v>9</v>
      </c>
      <c r="B38" s="3" t="s">
        <v>47</v>
      </c>
      <c r="C38" s="8">
        <v>2800</v>
      </c>
      <c r="D38" s="4">
        <v>22</v>
      </c>
      <c r="E38" s="8">
        <f t="shared" si="2"/>
        <v>61600</v>
      </c>
      <c r="F38" s="2" t="str">
        <f t="shared" si="3"/>
        <v>Средний</v>
      </c>
      <c r="G38" s="9">
        <f t="shared" si="4"/>
        <v>3.2625390604311209E-2</v>
      </c>
      <c r="H38" s="2">
        <f t="shared" si="5"/>
        <v>11</v>
      </c>
    </row>
    <row r="39" spans="1:8" x14ac:dyDescent="0.3">
      <c r="A39" s="2">
        <v>10</v>
      </c>
      <c r="B39" s="3" t="s">
        <v>48</v>
      </c>
      <c r="C39" s="8">
        <v>3200</v>
      </c>
      <c r="D39" s="4">
        <v>35</v>
      </c>
      <c r="E39" s="8">
        <f t="shared" si="2"/>
        <v>112000</v>
      </c>
      <c r="F39" s="2" t="str">
        <f t="shared" si="3"/>
        <v>Топ</v>
      </c>
      <c r="G39" s="9">
        <f t="shared" si="4"/>
        <v>5.9318892007838568E-2</v>
      </c>
      <c r="H39" s="2">
        <f t="shared" si="5"/>
        <v>3</v>
      </c>
    </row>
    <row r="40" spans="1:8" x14ac:dyDescent="0.3">
      <c r="A40" s="2">
        <v>11</v>
      </c>
      <c r="B40" s="3" t="s">
        <v>49</v>
      </c>
      <c r="C40" s="8">
        <v>400</v>
      </c>
      <c r="D40" s="4">
        <v>90</v>
      </c>
      <c r="E40" s="8">
        <f t="shared" si="2"/>
        <v>36000</v>
      </c>
      <c r="F40" s="2" t="str">
        <f t="shared" si="3"/>
        <v>Низкий</v>
      </c>
      <c r="G40" s="9">
        <f t="shared" si="4"/>
        <v>1.9066786716805253E-2</v>
      </c>
      <c r="H40" s="2">
        <f t="shared" si="5"/>
        <v>15</v>
      </c>
    </row>
    <row r="41" spans="1:8" x14ac:dyDescent="0.3">
      <c r="A41" s="2">
        <v>12</v>
      </c>
      <c r="B41" s="3" t="s">
        <v>50</v>
      </c>
      <c r="C41" s="8">
        <v>1200</v>
      </c>
      <c r="D41" s="4">
        <v>40</v>
      </c>
      <c r="E41" s="8">
        <f t="shared" si="2"/>
        <v>48000</v>
      </c>
      <c r="F41" s="2" t="str">
        <f t="shared" si="3"/>
        <v>Низкий</v>
      </c>
      <c r="G41" s="9">
        <f t="shared" si="4"/>
        <v>2.5422382289073672E-2</v>
      </c>
      <c r="H41" s="2">
        <f t="shared" si="5"/>
        <v>13</v>
      </c>
    </row>
    <row r="42" spans="1:8" x14ac:dyDescent="0.3">
      <c r="A42" s="2">
        <v>13</v>
      </c>
      <c r="B42" s="3" t="s">
        <v>51</v>
      </c>
      <c r="C42" s="8">
        <v>2500</v>
      </c>
      <c r="D42" s="4">
        <v>18</v>
      </c>
      <c r="E42" s="8">
        <f t="shared" si="2"/>
        <v>45000</v>
      </c>
      <c r="F42" s="2" t="str">
        <f t="shared" si="3"/>
        <v>Низкий</v>
      </c>
      <c r="G42" s="9">
        <f t="shared" si="4"/>
        <v>2.3833483396006567E-2</v>
      </c>
      <c r="H42" s="2">
        <f t="shared" si="5"/>
        <v>14</v>
      </c>
    </row>
    <row r="43" spans="1:8" x14ac:dyDescent="0.3">
      <c r="A43" s="2">
        <v>14</v>
      </c>
      <c r="B43" s="3" t="s">
        <v>52</v>
      </c>
      <c r="C43" s="8">
        <v>350</v>
      </c>
      <c r="D43" s="4">
        <v>200</v>
      </c>
      <c r="E43" s="8">
        <f t="shared" si="2"/>
        <v>70000</v>
      </c>
      <c r="F43" s="2" t="str">
        <f t="shared" si="3"/>
        <v>Средний</v>
      </c>
      <c r="G43" s="9">
        <f t="shared" si="4"/>
        <v>3.7074307504899102E-2</v>
      </c>
      <c r="H43" s="2">
        <f t="shared" si="5"/>
        <v>8</v>
      </c>
    </row>
    <row r="44" spans="1:8" x14ac:dyDescent="0.3">
      <c r="A44" s="2">
        <v>15</v>
      </c>
      <c r="B44" s="3" t="s">
        <v>53</v>
      </c>
      <c r="C44" s="8">
        <v>4500</v>
      </c>
      <c r="D44" s="4">
        <v>14</v>
      </c>
      <c r="E44" s="8">
        <f t="shared" si="2"/>
        <v>63000</v>
      </c>
      <c r="F44" s="2" t="str">
        <f t="shared" si="3"/>
        <v>Средний</v>
      </c>
      <c r="G44" s="9">
        <f t="shared" si="4"/>
        <v>3.3366876754409192E-2</v>
      </c>
      <c r="H44" s="2">
        <f t="shared" si="5"/>
        <v>10</v>
      </c>
    </row>
    <row r="45" spans="1:8" x14ac:dyDescent="0.3">
      <c r="B45" s="10" t="s">
        <v>54</v>
      </c>
      <c r="E45" s="11">
        <f>SUM(E30:E44)</f>
        <v>1888100</v>
      </c>
    </row>
    <row r="48" spans="1:8" ht="15.6" x14ac:dyDescent="0.3">
      <c r="A48" s="6" t="s">
        <v>55</v>
      </c>
    </row>
    <row r="49" spans="1:2" x14ac:dyDescent="0.3">
      <c r="A49" s="2" t="s">
        <v>26</v>
      </c>
      <c r="B49" s="7">
        <f>SUM(E30:E44)</f>
        <v>1888100</v>
      </c>
    </row>
    <row r="50" spans="1:2" x14ac:dyDescent="0.3">
      <c r="A50" s="2" t="s">
        <v>27</v>
      </c>
      <c r="B50" s="7">
        <f>AVERAGE(E30:E44)</f>
        <v>125873.33333333333</v>
      </c>
    </row>
    <row r="51" spans="1:2" x14ac:dyDescent="0.3">
      <c r="A51" s="2" t="s">
        <v>28</v>
      </c>
      <c r="B51" s="7">
        <f>MEDIAN(E30:E44)</f>
        <v>70000</v>
      </c>
    </row>
    <row r="52" spans="1:2" x14ac:dyDescent="0.3">
      <c r="A52" s="2" t="s">
        <v>29</v>
      </c>
      <c r="B52" s="7" t="e">
        <f ca="1">_xludf.MODE.SNGL(E30:E44)</f>
        <v>#NAME?</v>
      </c>
    </row>
    <row r="53" spans="1:2" x14ac:dyDescent="0.3">
      <c r="A53" s="2" t="s">
        <v>30</v>
      </c>
      <c r="B53" s="7">
        <f>MIN(E30:E44)</f>
        <v>36000</v>
      </c>
    </row>
    <row r="54" spans="1:2" x14ac:dyDescent="0.3">
      <c r="A54" s="2" t="s">
        <v>31</v>
      </c>
      <c r="B54" s="7">
        <f>MAX(E30:E44)</f>
        <v>540000</v>
      </c>
    </row>
    <row r="55" spans="1:2" x14ac:dyDescent="0.3">
      <c r="A55" s="2" t="s">
        <v>56</v>
      </c>
      <c r="B55" s="7" t="e">
        <f ca="1">_xludf.STDEV.S(E30:E44)</f>
        <v>#NAME?</v>
      </c>
    </row>
    <row r="56" spans="1:2" x14ac:dyDescent="0.3">
      <c r="A56" s="2" t="s">
        <v>57</v>
      </c>
      <c r="B56" s="7" t="e">
        <f ca="1">_xludf.VAR.S(E30:E44)</f>
        <v>#NAME?</v>
      </c>
    </row>
    <row r="57" spans="1:2" x14ac:dyDescent="0.3">
      <c r="A57" s="2" t="s">
        <v>58</v>
      </c>
      <c r="B57" s="7">
        <f>COUNTIF(F30:F44,"Топ")</f>
        <v>3</v>
      </c>
    </row>
    <row r="58" spans="1:2" x14ac:dyDescent="0.3">
      <c r="A58" s="2" t="s">
        <v>59</v>
      </c>
      <c r="B58" s="7">
        <f>SUMIF(F30:F44,"Топ",E30:E44)</f>
        <v>1102000</v>
      </c>
    </row>
    <row r="59" spans="1:2" x14ac:dyDescent="0.3">
      <c r="A59" s="2" t="s">
        <v>60</v>
      </c>
      <c r="B59" s="7">
        <f>AVERAGEIF(F30:F44,"Средний",E30:E44)</f>
        <v>73011.111111111109</v>
      </c>
    </row>
    <row r="60" spans="1:2" x14ac:dyDescent="0.3">
      <c r="A60" s="2" t="s">
        <v>61</v>
      </c>
      <c r="B60" s="7">
        <f>CORREL(C30:C44,D30:D44)</f>
        <v>-0.39694833806521035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Статистика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2026-09-29T08:33:09Z</dcterms:created>
  <dcterms:modified xsi:type="dcterms:W3CDTF">2026-10-20T09:15:37Z</dcterms:modified>
</cp:coreProperties>
</file>